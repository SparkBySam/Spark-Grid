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Pipeline" sheetId="1" r:id="rId1"/>
    <sheet name="Weekly Calls" sheetId="2" r:id="rId2"/>
  </sheets>
</workbook>
</file>

<file path=xl/sharedStrings.xml><?xml version="1.0" encoding="utf-8"?>
<sst xmlns="http://schemas.openxmlformats.org/spreadsheetml/2006/main" count="60" uniqueCount="60">
  <si>
    <t>Spark Grid — Q3 Enterprise Pipeline</t>
  </si>
  <si>
    <t>Updated Sep 11, 2026 · Confidential</t>
  </si>
  <si>
    <t>Account</t>
  </si>
  <si>
    <t>Owner</t>
  </si>
  <si>
    <t>Stage</t>
  </si>
  <si>
    <t>ARR ($)</t>
  </si>
  <si>
    <t>Close %</t>
  </si>
  <si>
    <t>Region</t>
  </si>
  <si>
    <t>Next step</t>
  </si>
  <si>
    <t>Weighted</t>
  </si>
  <si>
    <t>Snapshot</t>
  </si>
  <si>
    <t>Northwind Logistics</t>
  </si>
  <si>
    <t>Alex Rivera</t>
  </si>
  <si>
    <t>Negotiation</t>
  </si>
  <si>
    <t>Midwest</t>
  </si>
  <si>
    <t>Send MSA redlines</t>
  </si>
  <si>
    <t>Open deals</t>
  </si>
  <si>
    <t>Harbor &amp; Co.</t>
  </si>
  <si>
    <t>Jordan Lee</t>
  </si>
  <si>
    <t>Proposal</t>
  </si>
  <si>
    <t>Northeast</t>
  </si>
  <si>
    <t>Demo finance team</t>
  </si>
  <si>
    <t>Won ARR</t>
  </si>
  <si>
    <t>Cedar Peak Health</t>
  </si>
  <si>
    <t>Sam Park</t>
  </si>
  <si>
    <t>Discovery</t>
  </si>
  <si>
    <t>West</t>
  </si>
  <si>
    <t>Security questionnaire</t>
  </si>
  <si>
    <t>Weighted pipeline</t>
  </si>
  <si>
    <t>Blue Ridge Retail</t>
  </si>
  <si>
    <t>Casey Ng</t>
  </si>
  <si>
    <t>Closed Won</t>
  </si>
  <si>
    <t>Southeast</t>
  </si>
  <si>
    <t>Kickoff Oct 1</t>
  </si>
  <si>
    <t>Avg close %</t>
  </si>
  <si>
    <t>Atlas Freight</t>
  </si>
  <si>
    <t>Pricing revision</t>
  </si>
  <si>
    <t>Lumen Studios</t>
  </si>
  <si>
    <t>Legal review</t>
  </si>
  <si>
    <t>Pinecone Foods</t>
  </si>
  <si>
    <t>Needs assessment</t>
  </si>
  <si>
    <t>Summit Analytics</t>
  </si>
  <si>
    <t>Onboarding</t>
  </si>
  <si>
    <t>Riverview Bank</t>
  </si>
  <si>
    <t>Executive sponsor</t>
  </si>
  <si>
    <t>Oak &amp; Iron</t>
  </si>
  <si>
    <t>Final quote</t>
  </si>
  <si>
    <t>Brightline Solar</t>
  </si>
  <si>
    <t>Intro call</t>
  </si>
  <si>
    <t>Metro Dental Group</t>
  </si>
  <si>
    <t>ROI worksheet</t>
  </si>
  <si>
    <t>TOTAL</t>
  </si>
  <si>
    <t>Call center scoreboard — Week of Sep 8</t>
  </si>
  <si>
    <t>Rep</t>
  </si>
  <si>
    <t>Calls</t>
  </si>
  <si>
    <t>Talk time (min)</t>
  </si>
  <si>
    <t>Meetings set</t>
  </si>
  <si>
    <t>Riley Cho</t>
  </si>
  <si>
    <t>Morgan Diaz</t>
  </si>
  <si>
    <t>Team total calls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</si>
</sst>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2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0" applyAlignment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Relationship Id="rId4" Type="http://schemas.openxmlformats.org/officeDocument/2006/relationships/sharedStrings" Target="sharedStrings.xml"/>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3" topLeftCell="A4" activePane="bottomRight" state="frozen"/>
    </sheetView>
  </sheetViews>
  <cols>
    <col min="1" max="1" width="30.25771428571428" customWidth="1"/>
    <col min="2" max="2" width="11.428571428571429" customWidth="1"/>
    <col min="3" max="3" width="11.585714285714287" customWidth="1"/>
    <col min="4" max="4" width="11.428571428571429" customWidth="1"/>
    <col min="5" max="5" width="11.428571428571429" customWidth="1"/>
    <col min="6" max="6" width="11.428571428571429" customWidth="1"/>
    <col min="7" max="7" width="19.336000000000002" customWidth="1"/>
    <col min="8" max="8" width="11.428571428571429" customWidth="1"/>
    <col min="9" max="9" width="11.428571428571429" customWidth="1"/>
    <col min="10" max="10" width="15.93657142857143" customWidth="1"/>
    <col min="11" max="11" width="11.428571428571429" customWidth="1"/>
  </cols>
  <sheetData>
    <row r="1" ht="22.0" customHeight="1">
      <c r="A1" t="s">
        <v>0</v>
      </c>
    </row>
    <row r="2">
      <c r="A2" t="s">
        <v>1</v>
      </c>
    </row>
    <row r="3" ht="48.7578125" customHeight="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J3" t="s">
        <v>10</v>
      </c>
    </row>
    <row r="4" ht="21.29296875" customHeight="1">
      <c r="A4" t="s">
        <v>11</v>
      </c>
      <c r="B4" t="s">
        <v>12</v>
      </c>
      <c r="C4" t="s">
        <v>13</v>
      </c>
      <c r="D4">
        <v>186000</v>
      </c>
      <c r="E4">
        <v>0.7</v>
      </c>
      <c r="F4" t="s">
        <v>14</v>
      </c>
      <c r="G4" t="s">
        <v>15</v>
      </c>
      <c r="H4">
        <v>130200</v>
      </c>
      <c r="J4" t="s">
        <v>16</v>
      </c>
      <c r="K4">
        <v>10</v>
      </c>
    </row>
    <row r="5">
      <c r="A5" t="s">
        <v>17</v>
      </c>
      <c r="B5" t="s">
        <v>18</v>
      </c>
      <c r="C5" t="s">
        <v>19</v>
      </c>
      <c r="D5">
        <v>92000</v>
      </c>
      <c r="E5">
        <v>0.45</v>
      </c>
      <c r="F5" t="s">
        <v>20</v>
      </c>
      <c r="G5" t="s">
        <v>21</v>
      </c>
      <c r="H5">
        <v>41400</v>
      </c>
      <c r="J5" t="s">
        <v>22</v>
      </c>
      <c r="K5">
        <v>344000</v>
      </c>
    </row>
    <row r="6">
      <c r="A6" t="s">
        <v>23</v>
      </c>
      <c r="B6" t="s">
        <v>24</v>
      </c>
      <c r="C6" t="s">
        <v>25</v>
      </c>
      <c r="D6">
        <v>240000</v>
      </c>
      <c r="E6">
        <v>0.25</v>
      </c>
      <c r="F6" t="s">
        <v>26</v>
      </c>
      <c r="G6" t="s">
        <v>27</v>
      </c>
      <c r="H6">
        <v>60000</v>
      </c>
      <c r="J6" t="s">
        <v>28</v>
      </c>
      <c r="K6">
        <f>H16</f>
      </c>
    </row>
    <row r="7">
      <c r="A7" t="s">
        <v>29</v>
      </c>
      <c r="B7" t="s">
        <v>30</v>
      </c>
      <c r="C7" t="s">
        <v>31</v>
      </c>
      <c r="D7">
        <v>134000</v>
      </c>
      <c r="E7">
        <v>1</v>
      </c>
      <c r="F7" t="s">
        <v>32</v>
      </c>
      <c r="G7" t="s">
        <v>33</v>
      </c>
      <c r="H7">
        <v>134000</v>
      </c>
      <c r="J7" t="s">
        <v>34</v>
      </c>
      <c r="K7">
        <v>0.55</v>
      </c>
    </row>
    <row r="8">
      <c r="A8" t="s">
        <v>35</v>
      </c>
      <c r="B8" t="s">
        <v>12</v>
      </c>
      <c r="C8" t="s">
        <v>19</v>
      </c>
      <c r="D8">
        <v>157500</v>
      </c>
      <c r="E8">
        <v>0.55</v>
      </c>
      <c r="F8" t="s">
        <v>14</v>
      </c>
      <c r="G8" t="s">
        <v>36</v>
      </c>
      <c r="H8">
        <v>86625</v>
      </c>
    </row>
    <row r="9">
      <c r="A9" t="s">
        <v>37</v>
      </c>
      <c r="B9" t="s">
        <v>18</v>
      </c>
      <c r="C9" t="s">
        <v>13</v>
      </c>
      <c r="D9">
        <v>78000</v>
      </c>
      <c r="E9">
        <v>0.65</v>
      </c>
      <c r="F9" t="s">
        <v>26</v>
      </c>
      <c r="G9" t="s">
        <v>38</v>
      </c>
      <c r="H9">
        <v>50700</v>
      </c>
    </row>
    <row r="10">
      <c r="A10" t="s">
        <v>39</v>
      </c>
      <c r="B10" t="s">
        <v>30</v>
      </c>
      <c r="C10" t="s">
        <v>25</v>
      </c>
      <c r="D10">
        <v>61000</v>
      </c>
      <c r="E10">
        <v>0.2</v>
      </c>
      <c r="F10" t="s">
        <v>20</v>
      </c>
      <c r="G10" t="s">
        <v>40</v>
      </c>
      <c r="H10">
        <v>12200</v>
      </c>
    </row>
    <row r="11">
      <c r="A11" t="s">
        <v>41</v>
      </c>
      <c r="B11" t="s">
        <v>24</v>
      </c>
      <c r="C11" t="s">
        <v>31</v>
      </c>
      <c r="D11">
        <v>210000</v>
      </c>
      <c r="E11">
        <v>1</v>
      </c>
      <c r="F11" t="s">
        <v>26</v>
      </c>
      <c r="G11" t="s">
        <v>42</v>
      </c>
      <c r="H11">
        <v>210000</v>
      </c>
    </row>
    <row r="12">
      <c r="A12" t="s">
        <v>43</v>
      </c>
      <c r="B12" t="s">
        <v>12</v>
      </c>
      <c r="C12" t="s">
        <v>19</v>
      </c>
      <c r="D12">
        <v>305000</v>
      </c>
      <c r="E12">
        <v>0.4</v>
      </c>
      <c r="F12" t="s">
        <v>14</v>
      </c>
      <c r="G12" t="s">
        <v>44</v>
      </c>
      <c r="H12">
        <v>122000</v>
      </c>
    </row>
    <row r="13">
      <c r="A13" t="s">
        <v>45</v>
      </c>
      <c r="B13" t="s">
        <v>18</v>
      </c>
      <c r="C13" t="s">
        <v>13</v>
      </c>
      <c r="D13">
        <v>99000</v>
      </c>
      <c r="E13">
        <v>0.75</v>
      </c>
      <c r="F13" t="s">
        <v>32</v>
      </c>
      <c r="G13" t="s">
        <v>46</v>
      </c>
      <c r="H13">
        <v>74250</v>
      </c>
    </row>
    <row r="14">
      <c r="A14" t="s">
        <v>47</v>
      </c>
      <c r="B14" t="s">
        <v>30</v>
      </c>
      <c r="C14" t="s">
        <v>25</v>
      </c>
      <c r="D14">
        <v>88000</v>
      </c>
      <c r="E14">
        <v>0.15</v>
      </c>
      <c r="F14" t="s">
        <v>26</v>
      </c>
      <c r="G14" t="s">
        <v>48</v>
      </c>
      <c r="H14">
        <v>13200</v>
      </c>
    </row>
    <row r="15">
      <c r="A15" t="s">
        <v>49</v>
      </c>
      <c r="B15" t="s">
        <v>24</v>
      </c>
      <c r="C15" t="s">
        <v>19</v>
      </c>
      <c r="D15">
        <v>112000</v>
      </c>
      <c r="E15">
        <v>0.5</v>
      </c>
      <c r="F15" t="s">
        <v>20</v>
      </c>
      <c r="G15" t="s">
        <v>50</v>
      </c>
      <c r="H15">
        <v>56000</v>
      </c>
    </row>
    <row r="16">
      <c r="A16" t="s">
        <v>51</v>
      </c>
      <c r="D16">
        <f>SUM(D4:D15)</f>
      </c>
      <c r="H16">
        <f>SUM(H4:H15)</f>
      </c>
    </row>
  </sheetData>
  <autoFilter ref="A3:H15"/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3" topLeftCell="A4" activePane="bottomRight" state="frozen"/>
    </sheetView>
  </sheetViews>
  <cols>
    <col min="1" max="1" width="16.0" customWidth="1"/>
    <col min="2" max="2" width="10.0" customWidth="1"/>
    <col min="3" max="3" width="16.0" customWidth="1"/>
    <col min="4" max="4" width="14.0" customWidth="1"/>
    <col min="5" max="5" width="10.0" customWidth="1"/>
    <col min="6" max="6" width="12.0" customWidth="1"/>
  </cols>
  <sheetData>
    <row r="1">
      <c r="A1" t="s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6</v>
      </c>
      <c r="F3" t="s">
        <v>7</v>
      </c>
    </row>
    <row r="4">
      <c r="A4" t="s">
        <v>12</v>
      </c>
      <c r="B4">
        <v>148</v>
      </c>
      <c r="C4">
        <v>194</v>
      </c>
      <c r="D4">
        <v>22</v>
      </c>
      <c r="E4">
        <v>0.41</v>
      </c>
      <c r="F4" t="s">
        <v>14</v>
      </c>
    </row>
    <row r="5">
      <c r="A5" t="s">
        <v>18</v>
      </c>
      <c r="B5">
        <v>121</v>
      </c>
      <c r="C5">
        <v>168</v>
      </c>
      <c r="D5">
        <v>18</v>
      </c>
      <c r="E5">
        <v>0.37</v>
      </c>
      <c r="F5" t="s">
        <v>32</v>
      </c>
    </row>
    <row r="6">
      <c r="A6" t="s">
        <v>24</v>
      </c>
      <c r="B6">
        <v>166</v>
      </c>
      <c r="C6">
        <v>214</v>
      </c>
      <c r="D6">
        <v>27</v>
      </c>
      <c r="E6">
        <v>0.44</v>
      </c>
      <c r="F6" t="s">
        <v>26</v>
      </c>
    </row>
    <row r="7">
      <c r="A7" t="s">
        <v>30</v>
      </c>
      <c r="B7">
        <v>98</v>
      </c>
      <c r="C7">
        <v>115</v>
      </c>
      <c r="D7">
        <v>11</v>
      </c>
      <c r="E7">
        <v>0.29</v>
      </c>
      <c r="F7" t="s">
        <v>20</v>
      </c>
    </row>
    <row r="8">
      <c r="A8" t="s">
        <v>57</v>
      </c>
      <c r="B8">
        <v>134</v>
      </c>
      <c r="C8">
        <v>182</v>
      </c>
      <c r="D8">
        <v>19</v>
      </c>
      <c r="E8">
        <v>0.38</v>
      </c>
      <c r="F8" t="s">
        <v>14</v>
      </c>
    </row>
    <row r="9">
      <c r="A9" t="s">
        <v>58</v>
      </c>
      <c r="B9">
        <v>109</v>
      </c>
      <c r="C9">
        <v>141</v>
      </c>
      <c r="D9">
        <v>14</v>
      </c>
      <c r="E9">
        <v>0.33</v>
      </c>
      <c r="F9" t="s">
        <v>26</v>
      </c>
    </row>
    <row r="10">
      <c r="A10" t="s">
        <v>59</v>
      </c>
      <c r="B10">
        <f>SUM(B4:B9)</f>
      </c>
    </row>
  </sheetData>
  <mergeCells count="1">
    <mergeCell ref="A1:F1"/>
  </mergeCells>
  <conditionalFormatting sqref="E4:E9">
    <cfRule type="colorScale" priority="1">
      <colorScale>
        <cfvo type="min"/>
        <cfvo type="percentile" val="50"/>
        <cfvo type="max"/>
        <color rgb="FFFDE2E1"/>
        <color rgb="FFFFF3CD"/>
        <color rgb="FFD8F3DC"/>
      </colorScale>
    </cfRule>
  </conditionalFormatting>
  <extLst>
    <ext xmlns:x14="http://schemas.microsoft.com/office/spreadsheetml/2009/9/main" uri="{78C0FAFA-122D-4D67-B399-A730565E8757}">
      <x14:conditionalFormattings>
        <x14:conditionalFormatting xmlns:xm="http://schemas.microsoft.com/office/excel/2006/main">
          <xm:sqref>E4:E9</xm:sqref>
          <x14:cfRule type="colorScale" priority="1">
            <x14:colorScale>
              <x14:cfvo type="min"/>
              <x14:cfvo type="percentile" val="50"/>
              <x14:cfvo type="max"/>
              <x14:color rgb="FFFDE2E1"/>
              <x14:color rgb="FFFFF3CD"/>
              <x14:color rgb="FFD8F3DC"/>
            </x14:colorScale>
          </x14:cfRule>
        </x14:conditionalFormatting>
      </x14:conditionalFormattings>
    </ext>
  </extLst>
</worksheet>
</file>